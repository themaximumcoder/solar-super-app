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Ai Solar\MAXIS\CALCULATION GCPV\"/>
    </mc:Choice>
  </mc:AlternateContent>
  <xr:revisionPtr revIDLastSave="0" documentId="11_ACAB5098B7EB34630EC54DC5A65D3BAD95A259A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RING - HUAWEI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5" l="1"/>
  <c r="C9" i="15" s="1"/>
  <c r="D7" i="15"/>
  <c r="D9" i="15" s="1"/>
  <c r="E7" i="15"/>
  <c r="E9" i="15" s="1"/>
  <c r="F7" i="15"/>
  <c r="F9" i="15" s="1"/>
  <c r="G7" i="15"/>
  <c r="G9" i="15" s="1"/>
  <c r="H7" i="15"/>
  <c r="H9" i="15" s="1"/>
  <c r="I7" i="15"/>
  <c r="I9" i="15" s="1"/>
  <c r="J7" i="15"/>
  <c r="J9" i="15" s="1"/>
  <c r="K7" i="15"/>
  <c r="K9" i="15" s="1"/>
  <c r="L7" i="15"/>
  <c r="L9" i="15" s="1"/>
  <c r="M7" i="15"/>
  <c r="M9" i="15" s="1"/>
  <c r="N7" i="15"/>
  <c r="N9" i="15" s="1"/>
  <c r="O7" i="15"/>
  <c r="O9" i="15" s="1"/>
  <c r="P7" i="15"/>
  <c r="P9" i="15" s="1"/>
  <c r="Q7" i="15"/>
  <c r="Q9" i="15" s="1"/>
  <c r="R7" i="15"/>
  <c r="R9" i="15" s="1"/>
  <c r="S7" i="15"/>
  <c r="S9" i="15" s="1"/>
  <c r="B7" i="15" l="1"/>
  <c r="B9" i="15" s="1"/>
</calcChain>
</file>

<file path=xl/sharedStrings.xml><?xml version="1.0" encoding="utf-8"?>
<sst xmlns="http://schemas.openxmlformats.org/spreadsheetml/2006/main" count="29" uniqueCount="15">
  <si>
    <t>PV MSB</t>
  </si>
  <si>
    <t>MC4 DC Connector (Pairs)</t>
  </si>
  <si>
    <t>Earthing Cables [10mmsq. Cu/PVC - green]</t>
  </si>
  <si>
    <t>AC Cables [6mmsq. Cu/PVC]</t>
  </si>
  <si>
    <t xml:space="preserve">DC Cables [4mmsq. 1500V DC] </t>
  </si>
  <si>
    <t>Inverter Size (kWac)</t>
  </si>
  <si>
    <t>Project Capacity (kWp)</t>
  </si>
  <si>
    <t>Material's Estimated Quantity</t>
  </si>
  <si>
    <t>Inverter Current Output</t>
  </si>
  <si>
    <t>No. of PV</t>
  </si>
  <si>
    <t>DC/AC</t>
  </si>
  <si>
    <r>
      <t xml:space="preserve">- </t>
    </r>
    <r>
      <rPr>
        <b/>
        <sz val="11"/>
        <color theme="1"/>
        <rFont val="Calibri"/>
        <family val="2"/>
        <scheme val="minor"/>
      </rPr>
      <t>AC MCB</t>
    </r>
    <r>
      <rPr>
        <sz val="11"/>
        <color theme="1"/>
        <rFont val="Calibri"/>
        <family val="2"/>
        <scheme val="minor"/>
      </rPr>
      <t xml:space="preserve"> : 1 nos. 2P 32A
- </t>
    </r>
    <r>
      <rPr>
        <b/>
        <sz val="11"/>
        <color theme="1"/>
        <rFont val="Calibri"/>
        <family val="2"/>
        <scheme val="minor"/>
      </rPr>
      <t>AC SPD :</t>
    </r>
    <r>
      <rPr>
        <sz val="11"/>
        <color theme="1"/>
        <rFont val="Calibri"/>
        <family val="2"/>
        <scheme val="minor"/>
      </rPr>
      <t xml:space="preserve"> Single Phase 40kA, Type 2
- </t>
    </r>
    <r>
      <rPr>
        <b/>
        <sz val="11"/>
        <color theme="1"/>
        <rFont val="Calibri"/>
        <family val="2"/>
        <scheme val="minor"/>
      </rPr>
      <t>PV Meter</t>
    </r>
    <r>
      <rPr>
        <sz val="11"/>
        <color theme="1"/>
        <rFont val="Calibri"/>
        <family val="2"/>
        <scheme val="minor"/>
      </rPr>
      <t xml:space="preserve">: ACREL 1 Phase Meter
- </t>
    </r>
    <r>
      <rPr>
        <b/>
        <sz val="11"/>
        <color theme="1"/>
        <rFont val="Calibri"/>
        <family val="2"/>
        <scheme val="minor"/>
      </rPr>
      <t>Combiner Box:</t>
    </r>
    <r>
      <rPr>
        <sz val="11"/>
        <color theme="1"/>
        <rFont val="Calibri"/>
        <family val="2"/>
        <scheme val="minor"/>
      </rPr>
      <t xml:space="preserve"> IP65 type - 1 row, 14 ways
</t>
    </r>
  </si>
  <si>
    <r>
      <t xml:space="preserve">- </t>
    </r>
    <r>
      <rPr>
        <b/>
        <sz val="11"/>
        <color theme="1"/>
        <rFont val="Calibri"/>
        <family val="2"/>
        <scheme val="minor"/>
      </rPr>
      <t>AC MCB</t>
    </r>
    <r>
      <rPr>
        <sz val="11"/>
        <color theme="1"/>
        <rFont val="Calibri"/>
        <family val="2"/>
        <scheme val="minor"/>
      </rPr>
      <t xml:space="preserve"> : 1 nos. 4P 16A
- </t>
    </r>
    <r>
      <rPr>
        <b/>
        <sz val="11"/>
        <color theme="1"/>
        <rFont val="Calibri"/>
        <family val="2"/>
        <scheme val="minor"/>
      </rPr>
      <t>AC SPD :</t>
    </r>
    <r>
      <rPr>
        <sz val="11"/>
        <color theme="1"/>
        <rFont val="Calibri"/>
        <family val="2"/>
        <scheme val="minor"/>
      </rPr>
      <t xml:space="preserve"> 3 Phase 40kA, Type 2
- </t>
    </r>
    <r>
      <rPr>
        <b/>
        <sz val="11"/>
        <color theme="1"/>
        <rFont val="Calibri"/>
        <family val="2"/>
        <scheme val="minor"/>
      </rPr>
      <t>PV Meter</t>
    </r>
    <r>
      <rPr>
        <sz val="11"/>
        <color theme="1"/>
        <rFont val="Calibri"/>
        <family val="2"/>
        <scheme val="minor"/>
      </rPr>
      <t xml:space="preserve">: ACREL 3 Phase Meter
- </t>
    </r>
    <r>
      <rPr>
        <b/>
        <sz val="11"/>
        <color theme="1"/>
        <rFont val="Calibri"/>
        <family val="2"/>
        <scheme val="minor"/>
      </rPr>
      <t>Combiner Box:</t>
    </r>
    <r>
      <rPr>
        <sz val="11"/>
        <color theme="1"/>
        <rFont val="Calibri"/>
        <family val="2"/>
        <scheme val="minor"/>
      </rPr>
      <t xml:space="preserve"> IP65 type - 1 row, 14 ways
</t>
    </r>
  </si>
  <si>
    <r>
      <t xml:space="preserve">- </t>
    </r>
    <r>
      <rPr>
        <b/>
        <sz val="11"/>
        <color theme="1"/>
        <rFont val="Calibri"/>
        <family val="2"/>
        <scheme val="minor"/>
      </rPr>
      <t>AC MCB</t>
    </r>
    <r>
      <rPr>
        <sz val="11"/>
        <color theme="1"/>
        <rFont val="Calibri"/>
        <family val="2"/>
        <scheme val="minor"/>
      </rPr>
      <t xml:space="preserve"> : 1 nos. 4P 20A
- </t>
    </r>
    <r>
      <rPr>
        <b/>
        <sz val="11"/>
        <color theme="1"/>
        <rFont val="Calibri"/>
        <family val="2"/>
        <scheme val="minor"/>
      </rPr>
      <t>AC SPD :</t>
    </r>
    <r>
      <rPr>
        <sz val="11"/>
        <color theme="1"/>
        <rFont val="Calibri"/>
        <family val="2"/>
        <scheme val="minor"/>
      </rPr>
      <t xml:space="preserve"> 3 Phase 40kA, Type 2
- </t>
    </r>
    <r>
      <rPr>
        <b/>
        <sz val="11"/>
        <color theme="1"/>
        <rFont val="Calibri"/>
        <family val="2"/>
        <scheme val="minor"/>
      </rPr>
      <t>PV Meter</t>
    </r>
    <r>
      <rPr>
        <sz val="11"/>
        <color theme="1"/>
        <rFont val="Calibri"/>
        <family val="2"/>
        <scheme val="minor"/>
      </rPr>
      <t xml:space="preserve">: ACREL 3 Phase Meter
- </t>
    </r>
    <r>
      <rPr>
        <b/>
        <sz val="11"/>
        <color theme="1"/>
        <rFont val="Calibri"/>
        <family val="2"/>
        <scheme val="minor"/>
      </rPr>
      <t>Combiner Box:</t>
    </r>
    <r>
      <rPr>
        <sz val="11"/>
        <color theme="1"/>
        <rFont val="Calibri"/>
        <family val="2"/>
        <scheme val="minor"/>
      </rPr>
      <t xml:space="preserve"> IP65 type - 1 row, 14 ways
</t>
    </r>
  </si>
  <si>
    <r>
      <t xml:space="preserve">- </t>
    </r>
    <r>
      <rPr>
        <b/>
        <sz val="11"/>
        <color theme="1"/>
        <rFont val="Calibri"/>
        <family val="2"/>
        <scheme val="minor"/>
      </rPr>
      <t>AC MCB</t>
    </r>
    <r>
      <rPr>
        <sz val="11"/>
        <color theme="1"/>
        <rFont val="Calibri"/>
        <family val="2"/>
        <scheme val="minor"/>
      </rPr>
      <t xml:space="preserve"> : 1 nos. 4P 25A
- </t>
    </r>
    <r>
      <rPr>
        <b/>
        <sz val="11"/>
        <color theme="1"/>
        <rFont val="Calibri"/>
        <family val="2"/>
        <scheme val="minor"/>
      </rPr>
      <t>AC SPD :</t>
    </r>
    <r>
      <rPr>
        <sz val="11"/>
        <color theme="1"/>
        <rFont val="Calibri"/>
        <family val="2"/>
        <scheme val="minor"/>
      </rPr>
      <t xml:space="preserve"> 3 Phase 40kA, Type 2
- </t>
    </r>
    <r>
      <rPr>
        <b/>
        <sz val="11"/>
        <color theme="1"/>
        <rFont val="Calibri"/>
        <family val="2"/>
        <scheme val="minor"/>
      </rPr>
      <t>PV Meter</t>
    </r>
    <r>
      <rPr>
        <sz val="11"/>
        <color theme="1"/>
        <rFont val="Calibri"/>
        <family val="2"/>
        <scheme val="minor"/>
      </rPr>
      <t xml:space="preserve">: ACREL 3 Phase Meter
- </t>
    </r>
    <r>
      <rPr>
        <b/>
        <sz val="11"/>
        <color theme="1"/>
        <rFont val="Calibri"/>
        <family val="2"/>
        <scheme val="minor"/>
      </rPr>
      <t>Combiner Box:</t>
    </r>
    <r>
      <rPr>
        <sz val="11"/>
        <color theme="1"/>
        <rFont val="Calibri"/>
        <family val="2"/>
        <scheme val="minor"/>
      </rPr>
      <t xml:space="preserve"> IP65 type - 1 row, 14 ways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</si>
</sst>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\ &quot;A&quot;"/>
    <numFmt numFmtId="166" formatCode="0.000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2">
    <xf numFmtId="0" fontId="0" fillId="0" borderId="0" xfId="0"/>
    <xf numFmtId="0" fontId="3" fillId="0" borderId="2" xfId="0" applyFont="1" applyBorder="1"/>
    <xf numFmtId="2" fontId="7" fillId="2" borderId="3" xfId="0" applyNumberFormat="1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center" vertical="center"/>
    </xf>
    <xf numFmtId="2" fontId="7" fillId="3" borderId="4" xfId="0" applyNumberFormat="1" applyFont="1" applyFill="1" applyBorder="1" applyAlignment="1">
      <alignment horizontal="center" vertical="center"/>
    </xf>
    <xf numFmtId="2" fontId="7" fillId="3" borderId="5" xfId="0" applyNumberFormat="1" applyFont="1" applyFill="1" applyBorder="1" applyAlignment="1">
      <alignment horizontal="center" vertical="center"/>
    </xf>
    <xf numFmtId="0" fontId="7" fillId="0" borderId="6" xfId="0" applyFont="1" applyBorder="1"/>
    <xf numFmtId="9" fontId="0" fillId="0" borderId="0" xfId="0" applyNumberFormat="1"/>
    <xf numFmtId="0" fontId="4" fillId="0" borderId="0" xfId="0" applyFont="1"/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 wrapText="1"/>
    </xf>
    <xf numFmtId="166" fontId="7" fillId="3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5">
    <cellStyle name="Comma 2" xfId="3" xr:uid="{00000000-0005-0000-0000-000000000000}"/>
    <cellStyle name="Comma 2 2" xfId="2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4"/>
  <sheetViews>
    <sheetView tabSelected="1" zoomScale="70" zoomScaleNormal="70" workbookViewId="0">
      <pane xSplit="1" topLeftCell="D1" activePane="topRight" state="frozen"/>
      <selection pane="topRight" activeCell="F18" sqref="F18"/>
    </sheetView>
  </sheetViews>
  <sheetFormatPr defaultRowHeight="14.4"/>
  <cols>
    <col min="1" max="1" width="42.21875" bestFit="1" customWidth="1"/>
    <col min="2" max="2" width="37.21875" customWidth="1"/>
    <col min="3" max="19" width="37.21875" bestFit="1" customWidth="1"/>
  </cols>
  <sheetData>
    <row r="2" spans="1:19">
      <c r="A2" s="10" t="s">
        <v>7</v>
      </c>
    </row>
    <row r="3" spans="1:19">
      <c r="A3" s="9"/>
    </row>
    <row r="4" spans="1:19" s="14" customFormat="1" ht="15" thickBot="1">
      <c r="A4" s="13" t="s">
        <v>8</v>
      </c>
      <c r="B4" s="14">
        <v>25</v>
      </c>
      <c r="C4" s="14">
        <v>10</v>
      </c>
      <c r="D4" s="14">
        <v>10</v>
      </c>
      <c r="E4" s="14">
        <v>13.3</v>
      </c>
      <c r="F4" s="14">
        <v>13.3</v>
      </c>
      <c r="G4" s="14">
        <v>13.3</v>
      </c>
      <c r="H4" s="14">
        <v>13.3</v>
      </c>
      <c r="I4" s="14">
        <v>13.3</v>
      </c>
      <c r="J4" s="14">
        <v>16.7</v>
      </c>
      <c r="K4" s="14">
        <v>16.7</v>
      </c>
      <c r="L4" s="14">
        <v>16.7</v>
      </c>
      <c r="M4" s="14">
        <v>16.7</v>
      </c>
      <c r="N4" s="14">
        <v>20.2</v>
      </c>
      <c r="O4" s="14">
        <v>20.2</v>
      </c>
      <c r="P4" s="14">
        <v>20.2</v>
      </c>
      <c r="Q4" s="14">
        <v>20.2</v>
      </c>
      <c r="R4" s="14">
        <v>20.2</v>
      </c>
      <c r="S4" s="14">
        <v>20.2</v>
      </c>
    </row>
    <row r="5" spans="1:19" ht="15" thickBot="1">
      <c r="A5" s="9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1"/>
    </row>
    <row r="6" spans="1:19" ht="15" thickBot="1">
      <c r="A6" s="8" t="s">
        <v>9</v>
      </c>
      <c r="B6" s="6">
        <v>12</v>
      </c>
      <c r="C6" s="4">
        <v>12</v>
      </c>
      <c r="D6" s="4">
        <v>13</v>
      </c>
      <c r="E6" s="4">
        <v>14</v>
      </c>
      <c r="F6" s="4">
        <v>15</v>
      </c>
      <c r="G6" s="4">
        <v>16</v>
      </c>
      <c r="H6" s="4">
        <v>17</v>
      </c>
      <c r="I6" s="4">
        <v>18</v>
      </c>
      <c r="J6" s="4">
        <v>19</v>
      </c>
      <c r="K6" s="4">
        <v>20</v>
      </c>
      <c r="L6" s="4">
        <v>21</v>
      </c>
      <c r="M6" s="4">
        <v>22</v>
      </c>
      <c r="N6" s="4">
        <v>23</v>
      </c>
      <c r="O6" s="4">
        <v>24</v>
      </c>
      <c r="P6" s="4">
        <v>25</v>
      </c>
      <c r="Q6" s="4">
        <v>26</v>
      </c>
      <c r="R6" s="4">
        <v>27</v>
      </c>
      <c r="S6" s="4">
        <v>28</v>
      </c>
    </row>
    <row r="7" spans="1:19" ht="15" thickBot="1">
      <c r="A7" s="8" t="s">
        <v>6</v>
      </c>
      <c r="B7" s="7">
        <f>B6*0.62</f>
        <v>7.4399999999999995</v>
      </c>
      <c r="C7" s="4">
        <f t="shared" ref="C7:S7" si="0">C6*0.62</f>
        <v>7.4399999999999995</v>
      </c>
      <c r="D7" s="4">
        <f t="shared" si="0"/>
        <v>8.06</v>
      </c>
      <c r="E7" s="4">
        <f t="shared" si="0"/>
        <v>8.68</v>
      </c>
      <c r="F7" s="4">
        <f t="shared" si="0"/>
        <v>9.3000000000000007</v>
      </c>
      <c r="G7" s="4">
        <f t="shared" si="0"/>
        <v>9.92</v>
      </c>
      <c r="H7" s="4">
        <f t="shared" si="0"/>
        <v>10.54</v>
      </c>
      <c r="I7" s="4">
        <f t="shared" si="0"/>
        <v>11.16</v>
      </c>
      <c r="J7" s="4">
        <f t="shared" si="0"/>
        <v>11.78</v>
      </c>
      <c r="K7" s="4">
        <f t="shared" si="0"/>
        <v>12.4</v>
      </c>
      <c r="L7" s="4">
        <f t="shared" si="0"/>
        <v>13.02</v>
      </c>
      <c r="M7" s="4">
        <f t="shared" si="0"/>
        <v>13.64</v>
      </c>
      <c r="N7" s="4">
        <f t="shared" si="0"/>
        <v>14.26</v>
      </c>
      <c r="O7" s="4">
        <f t="shared" si="0"/>
        <v>14.879999999999999</v>
      </c>
      <c r="P7" s="4">
        <f t="shared" si="0"/>
        <v>15.5</v>
      </c>
      <c r="Q7" s="4">
        <f t="shared" si="0"/>
        <v>16.12</v>
      </c>
      <c r="R7" s="4">
        <f t="shared" si="0"/>
        <v>16.739999999999998</v>
      </c>
      <c r="S7" s="4">
        <f t="shared" si="0"/>
        <v>17.36</v>
      </c>
    </row>
    <row r="8" spans="1:19" ht="15" thickBot="1">
      <c r="A8" s="8" t="s">
        <v>5</v>
      </c>
      <c r="B8" s="5">
        <v>5</v>
      </c>
      <c r="C8" s="3">
        <v>6</v>
      </c>
      <c r="D8" s="3">
        <v>6</v>
      </c>
      <c r="E8" s="3">
        <v>8</v>
      </c>
      <c r="F8" s="3">
        <v>8</v>
      </c>
      <c r="G8" s="3">
        <v>8</v>
      </c>
      <c r="H8" s="3">
        <v>8</v>
      </c>
      <c r="I8" s="3">
        <v>8</v>
      </c>
      <c r="J8" s="3">
        <v>10</v>
      </c>
      <c r="K8" s="3">
        <v>10</v>
      </c>
      <c r="L8" s="3">
        <v>10</v>
      </c>
      <c r="M8" s="3">
        <v>10</v>
      </c>
      <c r="N8" s="3">
        <v>12</v>
      </c>
      <c r="O8" s="3">
        <v>12</v>
      </c>
      <c r="P8" s="3">
        <v>12</v>
      </c>
      <c r="Q8" s="3">
        <v>12</v>
      </c>
      <c r="R8" s="3">
        <v>12</v>
      </c>
      <c r="S8" s="2">
        <v>12</v>
      </c>
    </row>
    <row r="9" spans="1:19">
      <c r="A9" s="8" t="s">
        <v>10</v>
      </c>
      <c r="B9" s="17">
        <f>B7/B8</f>
        <v>1.488</v>
      </c>
      <c r="C9" s="18">
        <f t="shared" ref="C9:S9" si="1">C7/C8</f>
        <v>1.24</v>
      </c>
      <c r="D9" s="4">
        <f t="shared" si="1"/>
        <v>1.3433333333333335</v>
      </c>
      <c r="E9" s="4">
        <f t="shared" si="1"/>
        <v>1.085</v>
      </c>
      <c r="F9" s="4">
        <f t="shared" si="1"/>
        <v>1.1625000000000001</v>
      </c>
      <c r="G9" s="4">
        <f t="shared" si="1"/>
        <v>1.24</v>
      </c>
      <c r="H9" s="4">
        <f t="shared" si="1"/>
        <v>1.3174999999999999</v>
      </c>
      <c r="I9" s="4">
        <f t="shared" si="1"/>
        <v>1.395</v>
      </c>
      <c r="J9" s="4">
        <f t="shared" si="1"/>
        <v>1.1779999999999999</v>
      </c>
      <c r="K9" s="4">
        <f t="shared" si="1"/>
        <v>1.24</v>
      </c>
      <c r="L9" s="4">
        <f t="shared" si="1"/>
        <v>1.302</v>
      </c>
      <c r="M9" s="4">
        <f t="shared" si="1"/>
        <v>1.3640000000000001</v>
      </c>
      <c r="N9" s="4">
        <f t="shared" si="1"/>
        <v>1.1883333333333332</v>
      </c>
      <c r="O9" s="4">
        <f t="shared" si="1"/>
        <v>1.24</v>
      </c>
      <c r="P9" s="4">
        <f t="shared" si="1"/>
        <v>1.2916666666666667</v>
      </c>
      <c r="Q9" s="4">
        <f t="shared" si="1"/>
        <v>1.3433333333333335</v>
      </c>
      <c r="R9" s="4">
        <f t="shared" si="1"/>
        <v>1.3949999999999998</v>
      </c>
      <c r="S9" s="4">
        <f t="shared" si="1"/>
        <v>1.4466666666666665</v>
      </c>
    </row>
    <row r="10" spans="1:19">
      <c r="A10" s="1" t="s">
        <v>4</v>
      </c>
      <c r="B10" s="11">
        <v>200</v>
      </c>
      <c r="C10" s="11">
        <v>200</v>
      </c>
      <c r="D10" s="11">
        <v>200</v>
      </c>
      <c r="E10" s="11">
        <v>200</v>
      </c>
      <c r="F10" s="11">
        <v>200</v>
      </c>
      <c r="G10" s="11">
        <v>200</v>
      </c>
      <c r="H10" s="11">
        <v>200</v>
      </c>
      <c r="I10" s="11">
        <v>200</v>
      </c>
      <c r="J10" s="11">
        <v>200</v>
      </c>
      <c r="K10" s="11">
        <v>200</v>
      </c>
      <c r="L10" s="11">
        <v>200</v>
      </c>
      <c r="M10" s="11">
        <v>200</v>
      </c>
      <c r="N10" s="11">
        <v>200</v>
      </c>
      <c r="O10" s="11">
        <v>200</v>
      </c>
      <c r="P10" s="11">
        <v>200</v>
      </c>
      <c r="Q10" s="11">
        <v>200</v>
      </c>
      <c r="R10" s="11">
        <v>200</v>
      </c>
      <c r="S10" s="11">
        <v>200</v>
      </c>
    </row>
    <row r="11" spans="1:19">
      <c r="A11" s="1" t="s">
        <v>3</v>
      </c>
      <c r="B11" s="12">
        <v>100</v>
      </c>
      <c r="C11" s="12">
        <v>100</v>
      </c>
      <c r="D11" s="12">
        <v>100</v>
      </c>
      <c r="E11" s="12">
        <v>100</v>
      </c>
      <c r="F11" s="12">
        <v>100</v>
      </c>
      <c r="G11" s="12">
        <v>100</v>
      </c>
      <c r="H11" s="12">
        <v>100</v>
      </c>
      <c r="I11" s="12">
        <v>100</v>
      </c>
      <c r="J11" s="12">
        <v>100</v>
      </c>
      <c r="K11" s="12">
        <v>100</v>
      </c>
      <c r="L11" s="12">
        <v>100</v>
      </c>
      <c r="M11" s="12">
        <v>100</v>
      </c>
      <c r="N11" s="12">
        <v>100</v>
      </c>
      <c r="O11" s="12">
        <v>100</v>
      </c>
      <c r="P11" s="12">
        <v>100</v>
      </c>
      <c r="Q11" s="12">
        <v>100</v>
      </c>
      <c r="R11" s="12">
        <v>100</v>
      </c>
      <c r="S11" s="12">
        <v>100</v>
      </c>
    </row>
    <row r="12" spans="1:19">
      <c r="A12" s="1" t="s">
        <v>2</v>
      </c>
      <c r="B12" s="12">
        <v>80</v>
      </c>
      <c r="C12" s="12">
        <v>80</v>
      </c>
      <c r="D12" s="12">
        <v>80</v>
      </c>
      <c r="E12" s="12">
        <v>80</v>
      </c>
      <c r="F12" s="12">
        <v>80</v>
      </c>
      <c r="G12" s="12">
        <v>80</v>
      </c>
      <c r="H12" s="12">
        <v>80</v>
      </c>
      <c r="I12" s="12">
        <v>80</v>
      </c>
      <c r="J12" s="12">
        <v>80</v>
      </c>
      <c r="K12" s="12">
        <v>80</v>
      </c>
      <c r="L12" s="12">
        <v>80</v>
      </c>
      <c r="M12" s="12">
        <v>80</v>
      </c>
      <c r="N12" s="12">
        <v>80</v>
      </c>
      <c r="O12" s="12">
        <v>80</v>
      </c>
      <c r="P12" s="12">
        <v>80</v>
      </c>
      <c r="Q12" s="12">
        <v>80</v>
      </c>
      <c r="R12" s="12">
        <v>80</v>
      </c>
      <c r="S12" s="12">
        <v>80</v>
      </c>
    </row>
    <row r="13" spans="1:19">
      <c r="A13" s="1" t="s">
        <v>1</v>
      </c>
      <c r="B13" s="12">
        <v>6</v>
      </c>
      <c r="C13" s="12">
        <v>6</v>
      </c>
      <c r="D13" s="12">
        <v>6</v>
      </c>
      <c r="E13" s="12">
        <v>6</v>
      </c>
      <c r="F13" s="12">
        <v>6</v>
      </c>
      <c r="G13" s="12">
        <v>6</v>
      </c>
      <c r="H13" s="12">
        <v>6</v>
      </c>
      <c r="I13" s="12">
        <v>6</v>
      </c>
      <c r="J13" s="12">
        <v>6</v>
      </c>
      <c r="K13" s="12">
        <v>6</v>
      </c>
      <c r="L13" s="12">
        <v>6</v>
      </c>
      <c r="M13" s="12">
        <v>6</v>
      </c>
      <c r="N13" s="12">
        <v>6</v>
      </c>
      <c r="O13" s="12">
        <v>6</v>
      </c>
      <c r="P13" s="12">
        <v>6</v>
      </c>
      <c r="Q13" s="12">
        <v>6</v>
      </c>
      <c r="R13" s="12">
        <v>6</v>
      </c>
      <c r="S13" s="12">
        <v>6</v>
      </c>
    </row>
    <row r="14" spans="1:19" ht="88.8" customHeight="1" thickBot="1">
      <c r="A14" s="15" t="s">
        <v>0</v>
      </c>
      <c r="B14" s="16" t="s">
        <v>11</v>
      </c>
      <c r="C14" s="16" t="s">
        <v>12</v>
      </c>
      <c r="D14" s="16" t="s">
        <v>12</v>
      </c>
      <c r="E14" s="16" t="s">
        <v>13</v>
      </c>
      <c r="F14" s="16" t="s">
        <v>13</v>
      </c>
      <c r="G14" s="16" t="s">
        <v>13</v>
      </c>
      <c r="H14" s="16" t="s">
        <v>13</v>
      </c>
      <c r="I14" s="16" t="s">
        <v>13</v>
      </c>
      <c r="J14" s="16" t="s">
        <v>14</v>
      </c>
      <c r="K14" s="16" t="s">
        <v>14</v>
      </c>
      <c r="L14" s="16" t="s">
        <v>14</v>
      </c>
      <c r="M14" s="16" t="s">
        <v>14</v>
      </c>
      <c r="N14" s="16" t="s">
        <v>14</v>
      </c>
      <c r="O14" s="16" t="s">
        <v>14</v>
      </c>
      <c r="P14" s="16" t="s">
        <v>14</v>
      </c>
      <c r="Q14" s="16" t="s">
        <v>14</v>
      </c>
      <c r="R14" s="16" t="s">
        <v>14</v>
      </c>
      <c r="S14" s="16" t="s">
        <v>14</v>
      </c>
    </row>
  </sheetData>
  <mergeCells count="1">
    <mergeCell ref="C5:S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DAE8DD2FCDC4D874CB35E54E43FF9" ma:contentTypeVersion="13" ma:contentTypeDescription="Create a new document." ma:contentTypeScope="" ma:versionID="d9578d93e176446745a9dea5f3c3e0ab">
  <xsd:schema xmlns:xsd="http://www.w3.org/2001/XMLSchema" xmlns:xs="http://www.w3.org/2001/XMLSchema" xmlns:p="http://schemas.microsoft.com/office/2006/metadata/properties" xmlns:ns2="cb776b73-c0c0-4532-8dcb-8da600e461a6" xmlns:ns3="dcfce8f0-a8bc-452f-abb8-61d6c63a75f4" targetNamespace="http://schemas.microsoft.com/office/2006/metadata/properties" ma:root="true" ma:fieldsID="00853d97f0f646985b75fbed567f0e78" ns2:_="" ns3:_="">
    <xsd:import namespace="cb776b73-c0c0-4532-8dcb-8da600e461a6"/>
    <xsd:import namespace="dcfce8f0-a8bc-452f-abb8-61d6c63a75f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76b73-c0c0-4532-8dcb-8da600e461a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e8fe64d-e74d-4d10-9de5-7395ef455b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ce8f0-a8bc-452f-abb8-61d6c63a75f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91d3886-22cb-4ad7-873b-91c355c28ac8}" ma:internalName="TaxCatchAll" ma:showField="CatchAllData" ma:web="dcfce8f0-a8bc-452f-abb8-61d6c63a75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76b73-c0c0-4532-8dcb-8da600e461a6">
      <Terms xmlns="http://schemas.microsoft.com/office/infopath/2007/PartnerControls"/>
    </lcf76f155ced4ddcb4097134ff3c332f>
    <TaxCatchAll xmlns="dcfce8f0-a8bc-452f-abb8-61d6c63a75f4" xsi:nil="true"/>
    <SharedWithUsers xmlns="dcfce8f0-a8bc-452f-abb8-61d6c63a75f4">
      <UserInfo>
        <DisplayName/>
        <AccountId xsi:nil="true"/>
        <AccountType/>
      </UserInfo>
    </SharedWithUsers>
    <MediaLengthInSeconds xmlns="cb776b73-c0c0-4532-8dcb-8da600e461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30E355-97AF-455B-A842-843DD01008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76b73-c0c0-4532-8dcb-8da600e461a6"/>
    <ds:schemaRef ds:uri="dcfce8f0-a8bc-452f-abb8-61d6c63a7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FF969E-D0FD-400C-BB33-87589486A7C6}">
  <ds:schemaRefs>
    <ds:schemaRef ds:uri="http://schemas.microsoft.com/office/2006/metadata/properties"/>
    <ds:schemaRef ds:uri="http://schemas.microsoft.com/office/infopath/2007/PartnerControls"/>
    <ds:schemaRef ds:uri="cb776b73-c0c0-4532-8dcb-8da600e461a6"/>
    <ds:schemaRef ds:uri="dcfce8f0-a8bc-452f-abb8-61d6c63a75f4"/>
  </ds:schemaRefs>
</ds:datastoreItem>
</file>

<file path=customXml/itemProps3.xml><?xml version="1.0" encoding="utf-8"?>
<ds:datastoreItem xmlns:ds="http://schemas.openxmlformats.org/officeDocument/2006/customXml" ds:itemID="{F919B23B-AE60-4902-BA57-9CC2170071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 - HUAWEI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kmecoffeehq</cp:lastModifiedBy>
  <cp:lastPrinted>2024-04-23T02:25:54Z</cp:lastPrinted>
  <dcterms:created xsi:type="dcterms:W3CDTF">2020-02-10T03:52:00Z</dcterms:created>
  <dcterms:modified xsi:type="dcterms:W3CDTF">2026-05-20T06:18:29Z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93A13DE007A544B3BE318BBA099580EC</vt:lpwstr>
  </property>
  <property fmtid="{D5CDD505-2E9C-101B-9397-08002B2CF9AE}" pid="3" name="KSOProductBuildVer">
    <vt:lpwstr>1033-11.2.0.11191</vt:lpwstr>
  </property>
  <property fmtid="{D5CDD505-2E9C-101B-9397-08002B2CF9AE}" pid="4" name="ContentTypeId">
    <vt:lpwstr>0x0101002DEDAE8DD2FCDC4D874CB35E54E43FF9</vt:lpwstr>
  </property>
  <property fmtid="{D5CDD505-2E9C-101B-9397-08002B2CF9AE}" pid="5" name="Order">
    <vt:r8>4812200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